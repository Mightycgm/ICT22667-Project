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ข้อมูลห้องพัก" sheetId="1" state="visible" r:id="rId3"/>
    <sheet name="ข้อมูลผู้เช่า" sheetId="2" state="visible" r:id="rId4"/>
    <sheet name="บิลค่าเช่า" sheetId="3" state="visible" r:id="rId5"/>
    <sheet name="สรุปรายรับ" sheetId="4" state="visible" r:id="rId6"/>
    <sheet name="การซ่อมบำรุง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<sst xmlns="http://schemas.openxmlformats.org/spreadsheetml/2006/main" count="383" uniqueCount="228">
  <si>
    <t xml:space="preserve">ระบบจัดการอพาร์ทเม้นท์ - ข้อมูลห้องพัก</t>
  </si>
  <si>
    <t xml:space="preserve">อพาร์ทเม้นท์ บ้านสุขใจ | อัพเดทล่าสุด: มีนาคม 2568</t>
  </si>
  <si>
    <t xml:space="preserve">รหัสห้อง</t>
  </si>
  <si>
    <t xml:space="preserve">ชั้น</t>
  </si>
  <si>
    <t xml:space="preserve">ประเภทห้อง</t>
  </si>
  <si>
    <t xml:space="preserve">ขนาด (ตร.ม.)</t>
  </si>
  <si>
    <t xml:space="preserve">ค่าเช่า/เดือน (บาท)</t>
  </si>
  <si>
    <t xml:space="preserve">สถานะ</t>
  </si>
  <si>
    <t xml:space="preserve">วันที่เริ่มเช่า</t>
  </si>
  <si>
    <t xml:space="preserve">วันที่หมดสัญญา</t>
  </si>
  <si>
    <t xml:space="preserve">รหัสผู้เช่า</t>
  </si>
  <si>
    <t xml:space="preserve">หมายเหตุ</t>
  </si>
  <si>
    <t xml:space="preserve">แอร์</t>
  </si>
  <si>
    <t xml:space="preserve">101</t>
  </si>
  <si>
    <t xml:space="preserve">1</t>
  </si>
  <si>
    <t xml:space="preserve">ห้องเดี่ยว</t>
  </si>
  <si>
    <t xml:space="preserve">28</t>
  </si>
  <si>
    <t xml:space="preserve">4500</t>
  </si>
  <si>
    <t xml:space="preserve">ว่าง</t>
  </si>
  <si>
    <t xml:space="preserve">มี</t>
  </si>
  <si>
    <t xml:space="preserve">102</t>
  </si>
  <si>
    <t xml:space="preserve">มีผู้เช่า</t>
  </si>
  <si>
    <t xml:space="preserve">01/01/2568</t>
  </si>
  <si>
    <t xml:space="preserve">31/12/2568</t>
  </si>
  <si>
    <t xml:space="preserve">T001</t>
  </si>
  <si>
    <t xml:space="preserve">103</t>
  </si>
  <si>
    <t xml:space="preserve">ห้องคู่</t>
  </si>
  <si>
    <t xml:space="preserve">35</t>
  </si>
  <si>
    <t xml:space="preserve">5500</t>
  </si>
  <si>
    <t xml:space="preserve">15/02/2568</t>
  </si>
  <si>
    <t xml:space="preserve">14/02/2569</t>
  </si>
  <si>
    <t xml:space="preserve">T002</t>
  </si>
  <si>
    <t xml:space="preserve">สัญญาใหม่</t>
  </si>
  <si>
    <t xml:space="preserve">104</t>
  </si>
  <si>
    <t xml:space="preserve">ห้องสตูดิโอ</t>
  </si>
  <si>
    <t xml:space="preserve">40</t>
  </si>
  <si>
    <t xml:space="preserve">6500</t>
  </si>
  <si>
    <t xml:space="preserve">ซ่อมบำรุง</t>
  </si>
  <si>
    <t xml:space="preserve">ซ่อมแอร์</t>
  </si>
  <si>
    <t xml:space="preserve">ไม่มี</t>
  </si>
  <si>
    <t xml:space="preserve">201</t>
  </si>
  <si>
    <t xml:space="preserve">2</t>
  </si>
  <si>
    <t xml:space="preserve">01/03/2568</t>
  </si>
  <si>
    <t xml:space="preserve">28/02/2569</t>
  </si>
  <si>
    <t xml:space="preserve">T003</t>
  </si>
  <si>
    <t xml:space="preserve">202</t>
  </si>
  <si>
    <t xml:space="preserve">203</t>
  </si>
  <si>
    <t xml:space="preserve">01/11/2567</t>
  </si>
  <si>
    <t xml:space="preserve">31/10/2568</t>
  </si>
  <si>
    <t xml:space="preserve">T004</t>
  </si>
  <si>
    <t xml:space="preserve">ใกล้หมดสัญญา</t>
  </si>
  <si>
    <t xml:space="preserve">204</t>
  </si>
  <si>
    <t xml:space="preserve">01/02/2568</t>
  </si>
  <si>
    <t xml:space="preserve">31/01/2569</t>
  </si>
  <si>
    <t xml:space="preserve">T005</t>
  </si>
  <si>
    <t xml:space="preserve">301</t>
  </si>
  <si>
    <t xml:space="preserve">3</t>
  </si>
  <si>
    <t xml:space="preserve">4800</t>
  </si>
  <si>
    <t xml:space="preserve">T006</t>
  </si>
  <si>
    <t xml:space="preserve">302</t>
  </si>
  <si>
    <t xml:space="preserve">T007</t>
  </si>
  <si>
    <t xml:space="preserve">303</t>
  </si>
  <si>
    <t xml:space="preserve">5800</t>
  </si>
  <si>
    <t xml:space="preserve">304</t>
  </si>
  <si>
    <t xml:space="preserve">6800</t>
  </si>
  <si>
    <t xml:space="preserve">T008</t>
  </si>
  <si>
    <t xml:space="preserve">สรุปรวม</t>
  </si>
  <si>
    <t xml:space="preserve">ระบบจัดการอพาร์ทเม้นท์ - ข้อมูลผู้เช่า</t>
  </si>
  <si>
    <t xml:space="preserve">ข้อมูลผู้เช่าทั้งหมด | กรุณาตรวจสอบข้อมูลให้ครบถ้วน</t>
  </si>
  <si>
    <t xml:space="preserve">ชื่อ-นามสกุล</t>
  </si>
  <si>
    <t xml:space="preserve">เลขบัตรประชาชน</t>
  </si>
  <si>
    <t xml:space="preserve">เบอร์โทรศัพท์</t>
  </si>
  <si>
    <t xml:space="preserve">Line ID</t>
  </si>
  <si>
    <t xml:space="preserve">ห้องที่เช่า</t>
  </si>
  <si>
    <t xml:space="preserve">วันเข้าพัก</t>
  </si>
  <si>
    <t xml:space="preserve">วันออก</t>
  </si>
  <si>
    <t xml:space="preserve">เงินประกัน (บาท)</t>
  </si>
  <si>
    <t xml:space="preserve">อาชีพ</t>
  </si>
  <si>
    <t xml:space="preserve">ผู้ติดต่อฉุกเฉิน</t>
  </si>
  <si>
    <t xml:space="preserve">สมชาย ใจดี</t>
  </si>
  <si>
    <t xml:space="preserve">1-1001-12345-67-8</t>
  </si>
  <si>
    <t xml:space="preserve">081-234-5678</t>
  </si>
  <si>
    <t xml:space="preserve">@somchai</t>
  </si>
  <si>
    <t xml:space="preserve">9000</t>
  </si>
  <si>
    <t xml:space="preserve">อยู่</t>
  </si>
  <si>
    <t xml:space="preserve">พนักงานบริษัท</t>
  </si>
  <si>
    <t xml:space="preserve">สมหญิง ใจดี 081-000-1111</t>
  </si>
  <si>
    <t xml:space="preserve">สมหญิง รักสวย</t>
  </si>
  <si>
    <t xml:space="preserve">1-2002-23456-78-9</t>
  </si>
  <si>
    <t xml:space="preserve">082-345-6789</t>
  </si>
  <si>
    <t xml:space="preserve">@somying</t>
  </si>
  <si>
    <t xml:space="preserve">11000</t>
  </si>
  <si>
    <t xml:space="preserve">ครู</t>
  </si>
  <si>
    <t xml:space="preserve">สมศักดิ์ รักสวย 082-000-2222</t>
  </si>
  <si>
    <t xml:space="preserve">อนุชา พัฒนา</t>
  </si>
  <si>
    <t xml:space="preserve">1-3003-34567-89-0</t>
  </si>
  <si>
    <t xml:space="preserve">083-456-7890</t>
  </si>
  <si>
    <t xml:space="preserve">@anucha</t>
  </si>
  <si>
    <t xml:space="preserve">วิศวกร</t>
  </si>
  <si>
    <t xml:space="preserve">ประชา พัฒนา 083-000-3333</t>
  </si>
  <si>
    <t xml:space="preserve">วิภา สุขสันต์</t>
  </si>
  <si>
    <t xml:space="preserve">1-4004-45678-90-1</t>
  </si>
  <si>
    <t xml:space="preserve">084-567-8901</t>
  </si>
  <si>
    <t xml:space="preserve">@wipa</t>
  </si>
  <si>
    <t xml:space="preserve">พยาบาล</t>
  </si>
  <si>
    <t xml:space="preserve">วิชัย สุขสันต์ 084-000-4444</t>
  </si>
  <si>
    <t xml:space="preserve">ธนกร มั่งมี</t>
  </si>
  <si>
    <t xml:space="preserve">1-5005-56789-01-2</t>
  </si>
  <si>
    <t xml:space="preserve">085-678-9012</t>
  </si>
  <si>
    <t xml:space="preserve">@tanakorn</t>
  </si>
  <si>
    <t xml:space="preserve">13000</t>
  </si>
  <si>
    <t xml:space="preserve">นักธุรกิจ</t>
  </si>
  <si>
    <t xml:space="preserve">ธนพร มั่งมี 085-000-5555</t>
  </si>
  <si>
    <t xml:space="preserve">นภา ฟ้าใส</t>
  </si>
  <si>
    <t xml:space="preserve">1-6006-67890-12-3</t>
  </si>
  <si>
    <t xml:space="preserve">086-789-0123</t>
  </si>
  <si>
    <t xml:space="preserve">@napa</t>
  </si>
  <si>
    <t xml:space="preserve">9600</t>
  </si>
  <si>
    <t xml:space="preserve">นักศึกษา</t>
  </si>
  <si>
    <t xml:space="preserve">นิภา ฟ้าใส 086-000-6666</t>
  </si>
  <si>
    <t xml:space="preserve">ปิยะ ศรีสุข</t>
  </si>
  <si>
    <t xml:space="preserve">1-7007-78901-23-4</t>
  </si>
  <si>
    <t xml:space="preserve">087-890-1234</t>
  </si>
  <si>
    <t xml:space="preserve">@piya</t>
  </si>
  <si>
    <t xml:space="preserve">โปรแกรมเมอร์</t>
  </si>
  <si>
    <t xml:space="preserve">ปิยวรรณ ศรีสุข 087-000-7777</t>
  </si>
  <si>
    <t xml:space="preserve">กาญจนา ทองคำ</t>
  </si>
  <si>
    <t xml:space="preserve">1-8008-89012-34-5</t>
  </si>
  <si>
    <t xml:space="preserve">088-901-2345</t>
  </si>
  <si>
    <t xml:space="preserve">@kanjana</t>
  </si>
  <si>
    <t xml:space="preserve">13600</t>
  </si>
  <si>
    <t xml:space="preserve">นักบัญชี</t>
  </si>
  <si>
    <t xml:space="preserve">กาญจน์ ทองคำ 088-000-8888</t>
  </si>
  <si>
    <t xml:space="preserve">ระบบจัดการอพาร์ทเม้นท์ - บิลค่าเช่าและค่าสาธารณูปโภค</t>
  </si>
  <si>
    <t xml:space="preserve">ประจำเดือน มีนาคม 2568</t>
  </si>
  <si>
    <t xml:space="preserve">รหัสบิล</t>
  </si>
  <si>
    <t xml:space="preserve">ห้อง</t>
  </si>
  <si>
    <t xml:space="preserve">ค่าเช่า (บาท)</t>
  </si>
  <si>
    <t xml:space="preserve">หน่วยน้ำเก่า</t>
  </si>
  <si>
    <t xml:space="preserve">หน่วยน้ำใหม่</t>
  </si>
  <si>
    <t xml:space="preserve">ค่าน้ำ (บาท)</t>
  </si>
  <si>
    <t xml:space="preserve">หน่วยไฟเก่า</t>
  </si>
  <si>
    <t xml:space="preserve">หน่วยไฟใหม่</t>
  </si>
  <si>
    <t xml:space="preserve">ค่าไฟ (บาท)</t>
  </si>
  <si>
    <t xml:space="preserve">รวมทั้งหมด (บาท)</t>
  </si>
  <si>
    <t xml:space="preserve">สถานะชำระ</t>
  </si>
  <si>
    <t xml:space="preserve">วันที่ชำระ</t>
  </si>
  <si>
    <t xml:space="preserve">BL001</t>
  </si>
  <si>
    <t xml:space="preserve">ชำระแล้ว</t>
  </si>
  <si>
    <t xml:space="preserve">05/03/2568</t>
  </si>
  <si>
    <t xml:space="preserve">BL002</t>
  </si>
  <si>
    <t xml:space="preserve">03/03/2568</t>
  </si>
  <si>
    <t xml:space="preserve">BL003</t>
  </si>
  <si>
    <t xml:space="preserve">07/03/2568</t>
  </si>
  <si>
    <t xml:space="preserve">BL004</t>
  </si>
  <si>
    <t xml:space="preserve">ค้างชำระ</t>
  </si>
  <si>
    <t xml:space="preserve">BL005</t>
  </si>
  <si>
    <t xml:space="preserve">04/03/2568</t>
  </si>
  <si>
    <t xml:space="preserve">BL006</t>
  </si>
  <si>
    <t xml:space="preserve">06/03/2568</t>
  </si>
  <si>
    <t xml:space="preserve">BL007</t>
  </si>
  <si>
    <t xml:space="preserve">รอชำระ</t>
  </si>
  <si>
    <t xml:space="preserve">BL008</t>
  </si>
  <si>
    <t xml:space="preserve">02/03/2568</t>
  </si>
  <si>
    <t xml:space="preserve">รวมทั้งเดือน</t>
  </si>
  <si>
    <t xml:space="preserve">ระบบจัดการอพาร์ทเม้นท์ - สรุปรายรับประจำปี 2568</t>
  </si>
  <si>
    <t xml:space="preserve">เดือน</t>
  </si>
  <si>
    <t xml:space="preserve">รายรับรวม (บาท)</t>
  </si>
  <si>
    <t xml:space="preserve">ม.ค. 2568</t>
  </si>
  <si>
    <t xml:space="preserve">ก.พ. 2568</t>
  </si>
  <si>
    <t xml:space="preserve">เพิ่มผู้เช่าใหม่</t>
  </si>
  <si>
    <t xml:space="preserve">มี.ค. 2568</t>
  </si>
  <si>
    <t xml:space="preserve">ข้อมูลล่าสุด</t>
  </si>
  <si>
    <t xml:space="preserve">เม.ย. 2568</t>
  </si>
  <si>
    <t xml:space="preserve">พ.ค. 2568</t>
  </si>
  <si>
    <t xml:space="preserve">มิ.ย. 2568</t>
  </si>
  <si>
    <t xml:space="preserve">ก.ค. 2568</t>
  </si>
  <si>
    <t xml:space="preserve">ส.ค. 2568</t>
  </si>
  <si>
    <t xml:space="preserve">ก.ย. 2568</t>
  </si>
  <si>
    <t xml:space="preserve">ต.ค. 2568</t>
  </si>
  <si>
    <t xml:space="preserve">พ.ย. 2568</t>
  </si>
  <si>
    <t xml:space="preserve">ธ.ค. 2568</t>
  </si>
  <si>
    <t xml:space="preserve">รวมทั้งปี</t>
  </si>
  <si>
    <t xml:space="preserve">ระบบจัดการอพาร์ทเม้นท์ - บันทึกการซ่อมบำรุง</t>
  </si>
  <si>
    <t xml:space="preserve">บันทึกการแจ้งซ่อมและติดตามสถานะ</t>
  </si>
  <si>
    <t xml:space="preserve">รหัสงาน</t>
  </si>
  <si>
    <t xml:space="preserve">วันที่แจ้ง</t>
  </si>
  <si>
    <t xml:space="preserve">ประเภทงาน</t>
  </si>
  <si>
    <t xml:space="preserve">รายละเอียด</t>
  </si>
  <si>
    <t xml:space="preserve">ช่างผู้รับผิดชอบ</t>
  </si>
  <si>
    <t xml:space="preserve">ค่าใช้จ่าย (บาท)</t>
  </si>
  <si>
    <t xml:space="preserve">วันที่เสร็จ</t>
  </si>
  <si>
    <t xml:space="preserve">M001</t>
  </si>
  <si>
    <t xml:space="preserve">ไฟฟ้า</t>
  </si>
  <si>
    <t xml:space="preserve">แอร์ไม่ทำงาน</t>
  </si>
  <si>
    <t xml:space="preserve">ช่างวิชัย</t>
  </si>
  <si>
    <t xml:space="preserve">2500</t>
  </si>
  <si>
    <t xml:space="preserve">เสร็จแล้ว</t>
  </si>
  <si>
    <t xml:space="preserve">20/02/2568</t>
  </si>
  <si>
    <t xml:space="preserve">M002</t>
  </si>
  <si>
    <t xml:space="preserve">ประปา</t>
  </si>
  <si>
    <t xml:space="preserve">ก๊อกน้ำรั่ว</t>
  </si>
  <si>
    <t xml:space="preserve">ช่างสมศักดิ์</t>
  </si>
  <si>
    <t xml:space="preserve">350</t>
  </si>
  <si>
    <t xml:space="preserve">M003</t>
  </si>
  <si>
    <t xml:space="preserve">ทั่วไป</t>
  </si>
  <si>
    <t xml:space="preserve">ประตูล็อคไม่ติด</t>
  </si>
  <si>
    <t xml:space="preserve">ช่างประยูร</t>
  </si>
  <si>
    <t xml:space="preserve">200</t>
  </si>
  <si>
    <t xml:space="preserve">M004</t>
  </si>
  <si>
    <t xml:space="preserve">10/03/2568</t>
  </si>
  <si>
    <t xml:space="preserve">หลอดไฟห้องน้ำเสีย</t>
  </si>
  <si>
    <t xml:space="preserve">150</t>
  </si>
  <si>
    <t xml:space="preserve">M005</t>
  </si>
  <si>
    <t xml:space="preserve">12/03/2568</t>
  </si>
  <si>
    <t xml:space="preserve">ท่อน้ำทิ้งตัน</t>
  </si>
  <si>
    <t xml:space="preserve">800</t>
  </si>
  <si>
    <t xml:space="preserve">กำลังดำเนินการ</t>
  </si>
  <si>
    <t xml:space="preserve">M006</t>
  </si>
  <si>
    <t xml:space="preserve">14/03/2568</t>
  </si>
  <si>
    <t xml:space="preserve">ติดตั้งแอร์ตัวใหม่</t>
  </si>
  <si>
    <t xml:space="preserve">15000</t>
  </si>
  <si>
    <t xml:space="preserve">M007</t>
  </si>
  <si>
    <t xml:space="preserve">18/03/2568</t>
  </si>
  <si>
    <t xml:space="preserve">กระจกห้องน้ำแตก</t>
  </si>
  <si>
    <t xml:space="preserve">600</t>
  </si>
  <si>
    <t xml:space="preserve">รอดำเนินการ</t>
  </si>
  <si>
    <t xml:space="preserve">รวมค่าใช้จ่ายซ่อมบำรุง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</si>
</sst>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7D6608"/>
      <name val="Arial"/>
      <family val="0"/>
      <charset val="1"/>
    </font>
    <font>
      <b val="true"/>
      <sz val="10"/>
      <color rgb="FF276221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DCE6F1"/>
        <bgColor rgb="FFC6EFCE"/>
      </patternFill>
    </fill>
    <fill>
      <patternFill patternType="solid">
        <fgColor rgb="FFC6EFCE"/>
        <bgColor rgb="FFDCE6F1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7D6608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8EA9C1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4" min="3" style="0" width="14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1" min="11" style="0" width="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customFormat="false" ht="21.75" hidden="false" customHeight="true" outlineLevel="0" collapsed="false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5" t="s">
        <v>18</v>
      </c>
      <c r="G4" s="4"/>
      <c r="H4" s="4"/>
      <c r="I4" s="4"/>
      <c r="J4" s="4"/>
      <c r="K4" s="4" t="s">
        <v>19</v>
      </c>
    </row>
    <row r="5" customFormat="false" ht="21.75" hidden="false" customHeight="true" outlineLevel="0" collapsed="false">
      <c r="A5" s="6" t="s">
        <v>20</v>
      </c>
      <c r="B5" s="6" t="s">
        <v>14</v>
      </c>
      <c r="C5" s="6" t="s">
        <v>15</v>
      </c>
      <c r="D5" s="6" t="s">
        <v>16</v>
      </c>
      <c r="E5" s="6" t="s">
        <v>17</v>
      </c>
      <c r="F5" s="7" t="s">
        <v>21</v>
      </c>
      <c r="G5" s="6" t="s">
        <v>22</v>
      </c>
      <c r="H5" s="6" t="s">
        <v>23</v>
      </c>
      <c r="I5" s="6" t="s">
        <v>24</v>
      </c>
      <c r="J5" s="6"/>
      <c r="K5" s="6" t="s">
        <v>19</v>
      </c>
    </row>
    <row r="6" customFormat="false" ht="21.75" hidden="false" customHeight="true" outlineLevel="0" collapsed="false">
      <c r="A6" s="4" t="s">
        <v>25</v>
      </c>
      <c r="B6" s="4" t="s">
        <v>14</v>
      </c>
      <c r="C6" s="4" t="s">
        <v>26</v>
      </c>
      <c r="D6" s="4" t="s">
        <v>27</v>
      </c>
      <c r="E6" s="4" t="s">
        <v>28</v>
      </c>
      <c r="F6" s="7" t="s">
        <v>21</v>
      </c>
      <c r="G6" s="4" t="s">
        <v>29</v>
      </c>
      <c r="H6" s="4" t="s">
        <v>30</v>
      </c>
      <c r="I6" s="4" t="s">
        <v>31</v>
      </c>
      <c r="J6" s="4" t="s">
        <v>32</v>
      </c>
      <c r="K6" s="4" t="s">
        <v>19</v>
      </c>
    </row>
    <row r="7" customFormat="false" ht="21.75" hidden="false" customHeight="true" outlineLevel="0" collapsed="false">
      <c r="A7" s="6" t="s">
        <v>33</v>
      </c>
      <c r="B7" s="6" t="s">
        <v>14</v>
      </c>
      <c r="C7" s="6" t="s">
        <v>34</v>
      </c>
      <c r="D7" s="6" t="s">
        <v>35</v>
      </c>
      <c r="E7" s="6" t="s">
        <v>36</v>
      </c>
      <c r="F7" s="8" t="s">
        <v>37</v>
      </c>
      <c r="G7" s="6"/>
      <c r="H7" s="6"/>
      <c r="I7" s="6"/>
      <c r="J7" s="6" t="s">
        <v>38</v>
      </c>
      <c r="K7" s="6" t="s">
        <v>39</v>
      </c>
    </row>
    <row r="8" customFormat="false" ht="21.75" hidden="false" customHeight="true" outlineLevel="0" collapsed="false">
      <c r="A8" s="4" t="s">
        <v>40</v>
      </c>
      <c r="B8" s="4" t="s">
        <v>41</v>
      </c>
      <c r="C8" s="4" t="s">
        <v>15</v>
      </c>
      <c r="D8" s="4" t="s">
        <v>16</v>
      </c>
      <c r="E8" s="4" t="s">
        <v>17</v>
      </c>
      <c r="F8" s="7" t="s">
        <v>21</v>
      </c>
      <c r="G8" s="4" t="s">
        <v>42</v>
      </c>
      <c r="H8" s="4" t="s">
        <v>43</v>
      </c>
      <c r="I8" s="4" t="s">
        <v>44</v>
      </c>
      <c r="J8" s="4"/>
      <c r="K8" s="4" t="s">
        <v>19</v>
      </c>
    </row>
    <row r="9" customFormat="false" ht="21.75" hidden="false" customHeight="true" outlineLevel="0" collapsed="false">
      <c r="A9" s="6" t="s">
        <v>45</v>
      </c>
      <c r="B9" s="6" t="s">
        <v>41</v>
      </c>
      <c r="C9" s="6" t="s">
        <v>15</v>
      </c>
      <c r="D9" s="6" t="s">
        <v>16</v>
      </c>
      <c r="E9" s="6" t="s">
        <v>17</v>
      </c>
      <c r="F9" s="5" t="s">
        <v>18</v>
      </c>
      <c r="G9" s="6"/>
      <c r="H9" s="6"/>
      <c r="I9" s="6"/>
      <c r="J9" s="6"/>
      <c r="K9" s="6" t="s">
        <v>19</v>
      </c>
    </row>
    <row r="10" customFormat="false" ht="21.75" hidden="false" customHeight="true" outlineLevel="0" collapsed="false">
      <c r="A10" s="4" t="s">
        <v>46</v>
      </c>
      <c r="B10" s="4" t="s">
        <v>41</v>
      </c>
      <c r="C10" s="4" t="s">
        <v>26</v>
      </c>
      <c r="D10" s="4" t="s">
        <v>27</v>
      </c>
      <c r="E10" s="4" t="s">
        <v>28</v>
      </c>
      <c r="F10" s="7" t="s">
        <v>21</v>
      </c>
      <c r="G10" s="4" t="s">
        <v>47</v>
      </c>
      <c r="H10" s="4" t="s">
        <v>48</v>
      </c>
      <c r="I10" s="4" t="s">
        <v>49</v>
      </c>
      <c r="J10" s="4" t="s">
        <v>50</v>
      </c>
      <c r="K10" s="4" t="s">
        <v>19</v>
      </c>
    </row>
    <row r="11" customFormat="false" ht="21.75" hidden="false" customHeight="true" outlineLevel="0" collapsed="false">
      <c r="A11" s="6" t="s">
        <v>51</v>
      </c>
      <c r="B11" s="6" t="s">
        <v>41</v>
      </c>
      <c r="C11" s="6" t="s">
        <v>34</v>
      </c>
      <c r="D11" s="6" t="s">
        <v>35</v>
      </c>
      <c r="E11" s="6" t="s">
        <v>36</v>
      </c>
      <c r="F11" s="7" t="s">
        <v>21</v>
      </c>
      <c r="G11" s="6" t="s">
        <v>52</v>
      </c>
      <c r="H11" s="6" t="s">
        <v>53</v>
      </c>
      <c r="I11" s="6" t="s">
        <v>54</v>
      </c>
      <c r="J11" s="6"/>
      <c r="K11" s="6" t="s">
        <v>19</v>
      </c>
    </row>
    <row r="12" customFormat="false" ht="21.75" hidden="false" customHeight="true" outlineLevel="0" collapsed="false">
      <c r="A12" s="4" t="s">
        <v>55</v>
      </c>
      <c r="B12" s="4" t="s">
        <v>56</v>
      </c>
      <c r="C12" s="4" t="s">
        <v>15</v>
      </c>
      <c r="D12" s="4" t="s">
        <v>16</v>
      </c>
      <c r="E12" s="4" t="s">
        <v>57</v>
      </c>
      <c r="F12" s="7" t="s">
        <v>21</v>
      </c>
      <c r="G12" s="4" t="s">
        <v>22</v>
      </c>
      <c r="H12" s="4" t="s">
        <v>23</v>
      </c>
      <c r="I12" s="4" t="s">
        <v>58</v>
      </c>
      <c r="J12" s="4"/>
      <c r="K12" s="4" t="s">
        <v>19</v>
      </c>
    </row>
    <row r="13" customFormat="false" ht="21.75" hidden="false" customHeight="true" outlineLevel="0" collapsed="false">
      <c r="A13" s="6" t="s">
        <v>59</v>
      </c>
      <c r="B13" s="6" t="s">
        <v>56</v>
      </c>
      <c r="C13" s="6" t="s">
        <v>15</v>
      </c>
      <c r="D13" s="6" t="s">
        <v>16</v>
      </c>
      <c r="E13" s="6" t="s">
        <v>57</v>
      </c>
      <c r="F13" s="7" t="s">
        <v>21</v>
      </c>
      <c r="G13" s="6" t="s">
        <v>42</v>
      </c>
      <c r="H13" s="6" t="s">
        <v>43</v>
      </c>
      <c r="I13" s="6" t="s">
        <v>60</v>
      </c>
      <c r="J13" s="6"/>
      <c r="K13" s="6" t="s">
        <v>19</v>
      </c>
    </row>
    <row r="14" customFormat="false" ht="21.75" hidden="false" customHeight="true" outlineLevel="0" collapsed="false">
      <c r="A14" s="4" t="s">
        <v>61</v>
      </c>
      <c r="B14" s="4" t="s">
        <v>56</v>
      </c>
      <c r="C14" s="4" t="s">
        <v>26</v>
      </c>
      <c r="D14" s="4" t="s">
        <v>27</v>
      </c>
      <c r="E14" s="4" t="s">
        <v>62</v>
      </c>
      <c r="F14" s="5" t="s">
        <v>18</v>
      </c>
      <c r="G14" s="4"/>
      <c r="H14" s="4"/>
      <c r="I14" s="4"/>
      <c r="J14" s="4"/>
      <c r="K14" s="4" t="s">
        <v>19</v>
      </c>
    </row>
    <row r="15" customFormat="false" ht="21.75" hidden="false" customHeight="true" outlineLevel="0" collapsed="false">
      <c r="A15" s="6" t="s">
        <v>63</v>
      </c>
      <c r="B15" s="6" t="s">
        <v>56</v>
      </c>
      <c r="C15" s="6" t="s">
        <v>34</v>
      </c>
      <c r="D15" s="6" t="s">
        <v>35</v>
      </c>
      <c r="E15" s="6" t="s">
        <v>64</v>
      </c>
      <c r="F15" s="7" t="s">
        <v>21</v>
      </c>
      <c r="G15" s="6" t="s">
        <v>52</v>
      </c>
      <c r="H15" s="6" t="s">
        <v>53</v>
      </c>
      <c r="I15" s="6" t="s">
        <v>65</v>
      </c>
      <c r="J15" s="6"/>
      <c r="K15" s="6" t="s">
        <v>19</v>
      </c>
    </row>
    <row r="16" customFormat="false" ht="15" hidden="false" customHeight="true" outlineLevel="0" collapsed="false">
      <c r="A16" s="9" t="s">
        <v>66</v>
      </c>
      <c r="B16" s="9"/>
      <c r="C16" s="9"/>
      <c r="D16" s="9"/>
      <c r="E16" s="10" t="n">
        <f aca="false">SUM(E4:E15)</f>
        <v>0</v>
      </c>
      <c r="F16" s="11"/>
      <c r="G16" s="11"/>
      <c r="H16" s="11"/>
      <c r="I16" s="11"/>
      <c r="J16" s="11"/>
      <c r="K16" s="11"/>
    </row>
  </sheetData>
  <mergeCells count="3">
    <mergeCell ref="A1:K1"/>
    <mergeCell ref="A2:K2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16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28"/>
  </cols>
  <sheetData>
    <row r="1" customFormat="false" ht="31.5" hidden="false" customHeight="true" outlineLevel="0" collapsed="false">
      <c r="A1" s="1" t="s">
        <v>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2" t="s">
        <v>68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6" hidden="false" customHeight="true" outlineLevel="0" collapsed="false">
      <c r="A3" s="3" t="s">
        <v>10</v>
      </c>
      <c r="B3" s="3" t="s">
        <v>69</v>
      </c>
      <c r="C3" s="3" t="s">
        <v>70</v>
      </c>
      <c r="D3" s="3" t="s">
        <v>71</v>
      </c>
      <c r="E3" s="3" t="s">
        <v>72</v>
      </c>
      <c r="F3" s="3" t="s">
        <v>73</v>
      </c>
      <c r="G3" s="3" t="s">
        <v>74</v>
      </c>
      <c r="H3" s="3" t="s">
        <v>75</v>
      </c>
      <c r="I3" s="3" t="s">
        <v>76</v>
      </c>
      <c r="J3" s="3" t="s">
        <v>7</v>
      </c>
      <c r="K3" s="3" t="s">
        <v>77</v>
      </c>
      <c r="L3" s="3" t="s">
        <v>78</v>
      </c>
    </row>
    <row r="4" customFormat="false" ht="21.75" hidden="false" customHeight="true" outlineLevel="0" collapsed="false">
      <c r="A4" s="12" t="s">
        <v>24</v>
      </c>
      <c r="B4" s="12" t="s">
        <v>79</v>
      </c>
      <c r="C4" s="12" t="s">
        <v>80</v>
      </c>
      <c r="D4" s="12" t="s">
        <v>81</v>
      </c>
      <c r="E4" s="12" t="s">
        <v>82</v>
      </c>
      <c r="F4" s="12" t="s">
        <v>20</v>
      </c>
      <c r="G4" s="12" t="s">
        <v>22</v>
      </c>
      <c r="H4" s="12" t="s">
        <v>23</v>
      </c>
      <c r="I4" s="12" t="s">
        <v>83</v>
      </c>
      <c r="J4" s="12" t="s">
        <v>84</v>
      </c>
      <c r="K4" s="12" t="s">
        <v>85</v>
      </c>
      <c r="L4" s="12" t="s">
        <v>86</v>
      </c>
    </row>
    <row r="5" customFormat="false" ht="21.75" hidden="false" customHeight="true" outlineLevel="0" collapsed="false">
      <c r="A5" s="13" t="s">
        <v>31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25</v>
      </c>
      <c r="G5" s="13" t="s">
        <v>29</v>
      </c>
      <c r="H5" s="13" t="s">
        <v>30</v>
      </c>
      <c r="I5" s="13" t="s">
        <v>91</v>
      </c>
      <c r="J5" s="13" t="s">
        <v>84</v>
      </c>
      <c r="K5" s="13" t="s">
        <v>92</v>
      </c>
      <c r="L5" s="13" t="s">
        <v>93</v>
      </c>
    </row>
    <row r="6" customFormat="false" ht="21.75" hidden="false" customHeight="true" outlineLevel="0" collapsed="false">
      <c r="A6" s="12" t="s">
        <v>44</v>
      </c>
      <c r="B6" s="12" t="s">
        <v>94</v>
      </c>
      <c r="C6" s="12" t="s">
        <v>95</v>
      </c>
      <c r="D6" s="12" t="s">
        <v>96</v>
      </c>
      <c r="E6" s="12" t="s">
        <v>97</v>
      </c>
      <c r="F6" s="12" t="s">
        <v>40</v>
      </c>
      <c r="G6" s="12" t="s">
        <v>42</v>
      </c>
      <c r="H6" s="12" t="s">
        <v>43</v>
      </c>
      <c r="I6" s="12" t="s">
        <v>83</v>
      </c>
      <c r="J6" s="12" t="s">
        <v>84</v>
      </c>
      <c r="K6" s="12" t="s">
        <v>98</v>
      </c>
      <c r="L6" s="12" t="s">
        <v>99</v>
      </c>
    </row>
    <row r="7" customFormat="false" ht="21.75" hidden="false" customHeight="true" outlineLevel="0" collapsed="false">
      <c r="A7" s="13" t="s">
        <v>49</v>
      </c>
      <c r="B7" s="13" t="s">
        <v>100</v>
      </c>
      <c r="C7" s="13" t="s">
        <v>101</v>
      </c>
      <c r="D7" s="13" t="s">
        <v>102</v>
      </c>
      <c r="E7" s="13" t="s">
        <v>103</v>
      </c>
      <c r="F7" s="13" t="s">
        <v>46</v>
      </c>
      <c r="G7" s="13" t="s">
        <v>47</v>
      </c>
      <c r="H7" s="13" t="s">
        <v>48</v>
      </c>
      <c r="I7" s="13" t="s">
        <v>91</v>
      </c>
      <c r="J7" s="13" t="s">
        <v>84</v>
      </c>
      <c r="K7" s="13" t="s">
        <v>104</v>
      </c>
      <c r="L7" s="13" t="s">
        <v>105</v>
      </c>
    </row>
    <row r="8" customFormat="false" ht="21.75" hidden="false" customHeight="true" outlineLevel="0" collapsed="false">
      <c r="A8" s="12" t="s">
        <v>54</v>
      </c>
      <c r="B8" s="12" t="s">
        <v>106</v>
      </c>
      <c r="C8" s="12" t="s">
        <v>107</v>
      </c>
      <c r="D8" s="12" t="s">
        <v>108</v>
      </c>
      <c r="E8" s="12" t="s">
        <v>109</v>
      </c>
      <c r="F8" s="12" t="s">
        <v>51</v>
      </c>
      <c r="G8" s="12" t="s">
        <v>52</v>
      </c>
      <c r="H8" s="12" t="s">
        <v>53</v>
      </c>
      <c r="I8" s="12" t="s">
        <v>110</v>
      </c>
      <c r="J8" s="12" t="s">
        <v>84</v>
      </c>
      <c r="K8" s="12" t="s">
        <v>111</v>
      </c>
      <c r="L8" s="12" t="s">
        <v>112</v>
      </c>
    </row>
    <row r="9" customFormat="false" ht="21.75" hidden="false" customHeight="true" outlineLevel="0" collapsed="false">
      <c r="A9" s="13" t="s">
        <v>58</v>
      </c>
      <c r="B9" s="13" t="s">
        <v>113</v>
      </c>
      <c r="C9" s="13" t="s">
        <v>114</v>
      </c>
      <c r="D9" s="13" t="s">
        <v>115</v>
      </c>
      <c r="E9" s="13" t="s">
        <v>116</v>
      </c>
      <c r="F9" s="13" t="s">
        <v>55</v>
      </c>
      <c r="G9" s="13" t="s">
        <v>22</v>
      </c>
      <c r="H9" s="13" t="s">
        <v>23</v>
      </c>
      <c r="I9" s="13" t="s">
        <v>117</v>
      </c>
      <c r="J9" s="13" t="s">
        <v>84</v>
      </c>
      <c r="K9" s="13" t="s">
        <v>118</v>
      </c>
      <c r="L9" s="13" t="s">
        <v>119</v>
      </c>
    </row>
    <row r="10" customFormat="false" ht="21.75" hidden="false" customHeight="true" outlineLevel="0" collapsed="false">
      <c r="A10" s="12" t="s">
        <v>60</v>
      </c>
      <c r="B10" s="12" t="s">
        <v>120</v>
      </c>
      <c r="C10" s="12" t="s">
        <v>121</v>
      </c>
      <c r="D10" s="12" t="s">
        <v>122</v>
      </c>
      <c r="E10" s="12" t="s">
        <v>123</v>
      </c>
      <c r="F10" s="12" t="s">
        <v>59</v>
      </c>
      <c r="G10" s="12" t="s">
        <v>42</v>
      </c>
      <c r="H10" s="12" t="s">
        <v>43</v>
      </c>
      <c r="I10" s="12" t="s">
        <v>117</v>
      </c>
      <c r="J10" s="12" t="s">
        <v>84</v>
      </c>
      <c r="K10" s="12" t="s">
        <v>124</v>
      </c>
      <c r="L10" s="12" t="s">
        <v>125</v>
      </c>
    </row>
    <row r="11" customFormat="false" ht="21.75" hidden="false" customHeight="true" outlineLevel="0" collapsed="false">
      <c r="A11" s="13" t="s">
        <v>65</v>
      </c>
      <c r="B11" s="13" t="s">
        <v>126</v>
      </c>
      <c r="C11" s="13" t="s">
        <v>127</v>
      </c>
      <c r="D11" s="13" t="s">
        <v>128</v>
      </c>
      <c r="E11" s="13" t="s">
        <v>129</v>
      </c>
      <c r="F11" s="13" t="s">
        <v>63</v>
      </c>
      <c r="G11" s="13" t="s">
        <v>52</v>
      </c>
      <c r="H11" s="13" t="s">
        <v>53</v>
      </c>
      <c r="I11" s="13" t="s">
        <v>130</v>
      </c>
      <c r="J11" s="13" t="s">
        <v>84</v>
      </c>
      <c r="K11" s="13" t="s">
        <v>131</v>
      </c>
      <c r="L11" s="13" t="s">
        <v>132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9" min="8" style="0" width="13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3" min="12" style="0" width="14"/>
  </cols>
  <sheetData>
    <row r="1" customFormat="false" ht="31.5" hidden="false" customHeight="true" outlineLevel="0" collapsed="false">
      <c r="A1" s="1" t="s">
        <v>133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134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6" hidden="false" customHeight="true" outlineLevel="0" collapsed="false">
      <c r="A3" s="3" t="s">
        <v>135</v>
      </c>
      <c r="B3" s="3" t="s">
        <v>136</v>
      </c>
      <c r="C3" s="3" t="s">
        <v>10</v>
      </c>
      <c r="D3" s="3" t="s">
        <v>137</v>
      </c>
      <c r="E3" s="3" t="s">
        <v>138</v>
      </c>
      <c r="F3" s="3" t="s">
        <v>139</v>
      </c>
      <c r="G3" s="3" t="s">
        <v>140</v>
      </c>
      <c r="H3" s="3" t="s">
        <v>141</v>
      </c>
      <c r="I3" s="3" t="s">
        <v>142</v>
      </c>
      <c r="J3" s="3" t="s">
        <v>143</v>
      </c>
      <c r="K3" s="3" t="s">
        <v>144</v>
      </c>
      <c r="L3" s="3" t="s">
        <v>145</v>
      </c>
      <c r="M3" s="3" t="s">
        <v>146</v>
      </c>
    </row>
    <row r="4" customFormat="false" ht="21.75" hidden="false" customHeight="true" outlineLevel="0" collapsed="false">
      <c r="A4" s="4" t="s">
        <v>147</v>
      </c>
      <c r="B4" s="4" t="s">
        <v>20</v>
      </c>
      <c r="C4" s="4" t="s">
        <v>24</v>
      </c>
      <c r="D4" s="14" t="n">
        <v>4500</v>
      </c>
      <c r="E4" s="4" t="n">
        <v>120</v>
      </c>
      <c r="F4" s="4" t="n">
        <v>132</v>
      </c>
      <c r="G4" s="14" t="n">
        <f aca="false">(F4-E4)*18</f>
        <v>216</v>
      </c>
      <c r="H4" s="4" t="n">
        <v>1500</v>
      </c>
      <c r="I4" s="4" t="n">
        <v>1548</v>
      </c>
      <c r="J4" s="14" t="n">
        <f aca="false">(I4-H4)*8</f>
        <v>384</v>
      </c>
      <c r="K4" s="14" t="n">
        <f aca="false">D4+G4+J4</f>
        <v>5100</v>
      </c>
      <c r="L4" s="7" t="s">
        <v>148</v>
      </c>
      <c r="M4" s="4" t="s">
        <v>149</v>
      </c>
    </row>
    <row r="5" customFormat="false" ht="21.75" hidden="false" customHeight="true" outlineLevel="0" collapsed="false">
      <c r="A5" s="6" t="s">
        <v>150</v>
      </c>
      <c r="B5" s="6" t="s">
        <v>25</v>
      </c>
      <c r="C5" s="6" t="s">
        <v>31</v>
      </c>
      <c r="D5" s="15" t="n">
        <v>5500</v>
      </c>
      <c r="E5" s="6" t="n">
        <v>80</v>
      </c>
      <c r="F5" s="6" t="n">
        <v>94</v>
      </c>
      <c r="G5" s="15" t="n">
        <f aca="false">(F5-E5)*18</f>
        <v>252</v>
      </c>
      <c r="H5" s="6" t="n">
        <v>980</v>
      </c>
      <c r="I5" s="6" t="n">
        <v>1035</v>
      </c>
      <c r="J5" s="15" t="n">
        <f aca="false">(I5-H5)*8</f>
        <v>440</v>
      </c>
      <c r="K5" s="15" t="n">
        <f aca="false">D5+G5+J5</f>
        <v>6192</v>
      </c>
      <c r="L5" s="7" t="s">
        <v>148</v>
      </c>
      <c r="M5" s="6" t="s">
        <v>151</v>
      </c>
    </row>
    <row r="6" customFormat="false" ht="21.75" hidden="false" customHeight="true" outlineLevel="0" collapsed="false">
      <c r="A6" s="4" t="s">
        <v>152</v>
      </c>
      <c r="B6" s="4" t="s">
        <v>40</v>
      </c>
      <c r="C6" s="4" t="s">
        <v>44</v>
      </c>
      <c r="D6" s="14" t="n">
        <v>4500</v>
      </c>
      <c r="E6" s="4" t="n">
        <v>45</v>
      </c>
      <c r="F6" s="4" t="n">
        <v>58</v>
      </c>
      <c r="G6" s="14" t="n">
        <f aca="false">(F6-E6)*18</f>
        <v>234</v>
      </c>
      <c r="H6" s="4" t="n">
        <v>2100</v>
      </c>
      <c r="I6" s="4" t="n">
        <v>2167</v>
      </c>
      <c r="J6" s="14" t="n">
        <f aca="false">(I6-H6)*8</f>
        <v>536</v>
      </c>
      <c r="K6" s="14" t="n">
        <f aca="false">D6+G6+J6</f>
        <v>5270</v>
      </c>
      <c r="L6" s="7" t="s">
        <v>148</v>
      </c>
      <c r="M6" s="4" t="s">
        <v>153</v>
      </c>
    </row>
    <row r="7" customFormat="false" ht="21.75" hidden="false" customHeight="true" outlineLevel="0" collapsed="false">
      <c r="A7" s="6" t="s">
        <v>154</v>
      </c>
      <c r="B7" s="6" t="s">
        <v>46</v>
      </c>
      <c r="C7" s="6" t="s">
        <v>49</v>
      </c>
      <c r="D7" s="15" t="n">
        <v>5500</v>
      </c>
      <c r="E7" s="6" t="n">
        <v>60</v>
      </c>
      <c r="F7" s="6" t="n">
        <v>71</v>
      </c>
      <c r="G7" s="15" t="n">
        <f aca="false">(F7-E7)*18</f>
        <v>198</v>
      </c>
      <c r="H7" s="6" t="n">
        <v>1200</v>
      </c>
      <c r="I7" s="6" t="n">
        <v>1251</v>
      </c>
      <c r="J7" s="15" t="n">
        <f aca="false">(I7-H7)*8</f>
        <v>408</v>
      </c>
      <c r="K7" s="15" t="n">
        <f aca="false">D7+G7+J7</f>
        <v>6106</v>
      </c>
      <c r="L7" s="8" t="s">
        <v>155</v>
      </c>
      <c r="M7" s="6"/>
    </row>
    <row r="8" customFormat="false" ht="21.75" hidden="false" customHeight="true" outlineLevel="0" collapsed="false">
      <c r="A8" s="4" t="s">
        <v>156</v>
      </c>
      <c r="B8" s="4" t="s">
        <v>51</v>
      </c>
      <c r="C8" s="4" t="s">
        <v>54</v>
      </c>
      <c r="D8" s="14" t="n">
        <v>6500</v>
      </c>
      <c r="E8" s="4" t="n">
        <v>95</v>
      </c>
      <c r="F8" s="4" t="n">
        <v>108</v>
      </c>
      <c r="G8" s="14" t="n">
        <f aca="false">(F8-E8)*18</f>
        <v>234</v>
      </c>
      <c r="H8" s="4" t="n">
        <v>3200</v>
      </c>
      <c r="I8" s="4" t="n">
        <v>3278</v>
      </c>
      <c r="J8" s="14" t="n">
        <f aca="false">(I8-H8)*8</f>
        <v>624</v>
      </c>
      <c r="K8" s="14" t="n">
        <f aca="false">D8+G8+J8</f>
        <v>7358</v>
      </c>
      <c r="L8" s="7" t="s">
        <v>148</v>
      </c>
      <c r="M8" s="4" t="s">
        <v>157</v>
      </c>
    </row>
    <row r="9" customFormat="false" ht="21.75" hidden="false" customHeight="true" outlineLevel="0" collapsed="false">
      <c r="A9" s="6" t="s">
        <v>158</v>
      </c>
      <c r="B9" s="6" t="s">
        <v>55</v>
      </c>
      <c r="C9" s="6" t="s">
        <v>58</v>
      </c>
      <c r="D9" s="15" t="n">
        <v>4800</v>
      </c>
      <c r="E9" s="6" t="n">
        <v>30</v>
      </c>
      <c r="F9" s="6" t="n">
        <v>42</v>
      </c>
      <c r="G9" s="15" t="n">
        <f aca="false">(F9-E9)*18</f>
        <v>216</v>
      </c>
      <c r="H9" s="6" t="n">
        <v>850</v>
      </c>
      <c r="I9" s="6" t="n">
        <v>894</v>
      </c>
      <c r="J9" s="15" t="n">
        <f aca="false">(I9-H9)*8</f>
        <v>352</v>
      </c>
      <c r="K9" s="15" t="n">
        <f aca="false">D9+G9+J9</f>
        <v>5368</v>
      </c>
      <c r="L9" s="7" t="s">
        <v>148</v>
      </c>
      <c r="M9" s="6" t="s">
        <v>159</v>
      </c>
    </row>
    <row r="10" customFormat="false" ht="21.75" hidden="false" customHeight="true" outlineLevel="0" collapsed="false">
      <c r="A10" s="4" t="s">
        <v>160</v>
      </c>
      <c r="B10" s="4" t="s">
        <v>59</v>
      </c>
      <c r="C10" s="4" t="s">
        <v>60</v>
      </c>
      <c r="D10" s="14" t="n">
        <v>4800</v>
      </c>
      <c r="E10" s="4" t="n">
        <v>55</v>
      </c>
      <c r="F10" s="4" t="n">
        <v>67</v>
      </c>
      <c r="G10" s="14" t="n">
        <f aca="false">(F10-E10)*18</f>
        <v>216</v>
      </c>
      <c r="H10" s="4" t="n">
        <v>1100</v>
      </c>
      <c r="I10" s="4" t="n">
        <v>1156</v>
      </c>
      <c r="J10" s="14" t="n">
        <f aca="false">(I10-H10)*8</f>
        <v>448</v>
      </c>
      <c r="K10" s="14" t="n">
        <f aca="false">D10+G10+J10</f>
        <v>5464</v>
      </c>
      <c r="L10" s="5" t="s">
        <v>161</v>
      </c>
      <c r="M10" s="4"/>
    </row>
    <row r="11" customFormat="false" ht="21.75" hidden="false" customHeight="true" outlineLevel="0" collapsed="false">
      <c r="A11" s="6" t="s">
        <v>162</v>
      </c>
      <c r="B11" s="6" t="s">
        <v>63</v>
      </c>
      <c r="C11" s="6" t="s">
        <v>65</v>
      </c>
      <c r="D11" s="15" t="n">
        <v>6800</v>
      </c>
      <c r="E11" s="6" t="n">
        <v>75</v>
      </c>
      <c r="F11" s="6" t="n">
        <v>88</v>
      </c>
      <c r="G11" s="15" t="n">
        <f aca="false">(F11-E11)*18</f>
        <v>234</v>
      </c>
      <c r="H11" s="6" t="n">
        <v>2800</v>
      </c>
      <c r="I11" s="6" t="n">
        <v>2865</v>
      </c>
      <c r="J11" s="15" t="n">
        <f aca="false">(I11-H11)*8</f>
        <v>520</v>
      </c>
      <c r="K11" s="15" t="n">
        <f aca="false">D11+G11+J11</f>
        <v>7554</v>
      </c>
      <c r="L11" s="7" t="s">
        <v>148</v>
      </c>
      <c r="M11" s="6" t="s">
        <v>163</v>
      </c>
    </row>
    <row r="12" customFormat="false" ht="15" hidden="false" customHeight="true" outlineLevel="0" collapsed="false">
      <c r="A12" s="16" t="s">
        <v>164</v>
      </c>
      <c r="B12" s="16"/>
      <c r="C12" s="16"/>
      <c r="D12" s="10" t="n">
        <f aca="false">SUM(D4:D11)</f>
        <v>42900</v>
      </c>
      <c r="E12" s="17"/>
      <c r="F12" s="17"/>
      <c r="G12" s="10" t="n">
        <f aca="false">SUM(G4:G11)</f>
        <v>1800</v>
      </c>
      <c r="H12" s="17"/>
      <c r="I12" s="17"/>
      <c r="J12" s="10" t="n">
        <f aca="false">SUM(J4:J11)</f>
        <v>3712</v>
      </c>
      <c r="K12" s="10" t="n">
        <f aca="false">SUM(K4:K11)</f>
        <v>48412</v>
      </c>
      <c r="L12" s="17"/>
      <c r="M12" s="17"/>
    </row>
  </sheetData>
  <mergeCells count="3">
    <mergeCell ref="A1:K1"/>
    <mergeCell ref="A2:K2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  <col collapsed="false" customWidth="true" hidden="false" outlineLevel="0" max="6" min="5" style="0" width="18"/>
  </cols>
  <sheetData>
    <row r="1" customFormat="false" ht="31.5" hidden="false" customHeight="true" outlineLevel="0" collapsed="false">
      <c r="A1" s="1" t="s">
        <v>165</v>
      </c>
      <c r="B1" s="1"/>
      <c r="C1" s="1"/>
      <c r="D1" s="1"/>
      <c r="E1" s="1"/>
      <c r="F1" s="1"/>
      <c r="G1" s="1"/>
    </row>
    <row r="3" customFormat="false" ht="36" hidden="false" customHeight="true" outlineLevel="0" collapsed="false">
      <c r="A3" s="3" t="s">
        <v>166</v>
      </c>
      <c r="B3" s="3" t="s">
        <v>137</v>
      </c>
      <c r="C3" s="3" t="s">
        <v>140</v>
      </c>
      <c r="D3" s="3" t="s">
        <v>143</v>
      </c>
      <c r="E3" s="3" t="s">
        <v>167</v>
      </c>
      <c r="F3" s="3" t="s">
        <v>11</v>
      </c>
    </row>
    <row r="4" customFormat="false" ht="21.75" hidden="false" customHeight="true" outlineLevel="0" collapsed="false">
      <c r="A4" s="4" t="s">
        <v>168</v>
      </c>
      <c r="B4" s="14" t="n">
        <v>38400</v>
      </c>
      <c r="C4" s="14" t="n">
        <v>2160</v>
      </c>
      <c r="D4" s="14" t="n">
        <v>4320</v>
      </c>
      <c r="E4" s="14" t="n">
        <f aca="false">IF(B4="","",B4+C4+D4)</f>
        <v>44880</v>
      </c>
      <c r="F4" s="4"/>
    </row>
    <row r="5" customFormat="false" ht="21.75" hidden="false" customHeight="true" outlineLevel="0" collapsed="false">
      <c r="A5" s="6" t="s">
        <v>169</v>
      </c>
      <c r="B5" s="15" t="n">
        <v>40900</v>
      </c>
      <c r="C5" s="15" t="n">
        <v>2340</v>
      </c>
      <c r="D5" s="15" t="n">
        <v>4680</v>
      </c>
      <c r="E5" s="15" t="n">
        <f aca="false">IF(B5="","",B5+C5+D5)</f>
        <v>47920</v>
      </c>
      <c r="F5" s="6" t="s">
        <v>170</v>
      </c>
    </row>
    <row r="6" customFormat="false" ht="21.75" hidden="false" customHeight="true" outlineLevel="0" collapsed="false">
      <c r="A6" s="4" t="s">
        <v>171</v>
      </c>
      <c r="B6" s="14" t="n">
        <v>42600</v>
      </c>
      <c r="C6" s="14" t="n">
        <v>2520</v>
      </c>
      <c r="D6" s="14" t="n">
        <v>5040</v>
      </c>
      <c r="E6" s="14" t="n">
        <f aca="false">IF(B6="","",B6+C6+D6)</f>
        <v>50160</v>
      </c>
      <c r="F6" s="4" t="s">
        <v>172</v>
      </c>
    </row>
    <row r="7" customFormat="false" ht="21.75" hidden="false" customHeight="true" outlineLevel="0" collapsed="false">
      <c r="A7" s="6" t="s">
        <v>173</v>
      </c>
      <c r="B7" s="15"/>
      <c r="C7" s="15"/>
      <c r="D7" s="15"/>
      <c r="E7" s="15" t="str">
        <f aca="false">IF(B7="","",B7+C7+D7)</f>
        <v/>
      </c>
      <c r="F7" s="6"/>
    </row>
    <row r="8" customFormat="false" ht="21.75" hidden="false" customHeight="true" outlineLevel="0" collapsed="false">
      <c r="A8" s="4" t="s">
        <v>174</v>
      </c>
      <c r="B8" s="14"/>
      <c r="C8" s="14"/>
      <c r="D8" s="14"/>
      <c r="E8" s="14" t="str">
        <f aca="false">IF(B8="","",B8+C8+D8)</f>
        <v/>
      </c>
      <c r="F8" s="4"/>
    </row>
    <row r="9" customFormat="false" ht="21.75" hidden="false" customHeight="true" outlineLevel="0" collapsed="false">
      <c r="A9" s="6" t="s">
        <v>175</v>
      </c>
      <c r="B9" s="15"/>
      <c r="C9" s="15"/>
      <c r="D9" s="15"/>
      <c r="E9" s="15" t="str">
        <f aca="false">IF(B9="","",B9+C9+D9)</f>
        <v/>
      </c>
      <c r="F9" s="6"/>
    </row>
    <row r="10" customFormat="false" ht="21.75" hidden="false" customHeight="true" outlineLevel="0" collapsed="false">
      <c r="A10" s="4" t="s">
        <v>176</v>
      </c>
      <c r="B10" s="14"/>
      <c r="C10" s="14"/>
      <c r="D10" s="14"/>
      <c r="E10" s="14" t="str">
        <f aca="false">IF(B10="","",B10+C10+D10)</f>
        <v/>
      </c>
      <c r="F10" s="4"/>
    </row>
    <row r="11" customFormat="false" ht="21.75" hidden="false" customHeight="true" outlineLevel="0" collapsed="false">
      <c r="A11" s="6" t="s">
        <v>177</v>
      </c>
      <c r="B11" s="15"/>
      <c r="C11" s="15"/>
      <c r="D11" s="15"/>
      <c r="E11" s="15" t="str">
        <f aca="false">IF(B11="","",B11+C11+D11)</f>
        <v/>
      </c>
      <c r="F11" s="6"/>
    </row>
    <row r="12" customFormat="false" ht="21.75" hidden="false" customHeight="true" outlineLevel="0" collapsed="false">
      <c r="A12" s="4" t="s">
        <v>178</v>
      </c>
      <c r="B12" s="14"/>
      <c r="C12" s="14"/>
      <c r="D12" s="14"/>
      <c r="E12" s="14" t="str">
        <f aca="false">IF(B12="","",B12+C12+D12)</f>
        <v/>
      </c>
      <c r="F12" s="4"/>
    </row>
    <row r="13" customFormat="false" ht="21.75" hidden="false" customHeight="true" outlineLevel="0" collapsed="false">
      <c r="A13" s="6" t="s">
        <v>179</v>
      </c>
      <c r="B13" s="15"/>
      <c r="C13" s="15"/>
      <c r="D13" s="15"/>
      <c r="E13" s="15" t="str">
        <f aca="false">IF(B13="","",B13+C13+D13)</f>
        <v/>
      </c>
      <c r="F13" s="6"/>
    </row>
    <row r="14" customFormat="false" ht="21.75" hidden="false" customHeight="true" outlineLevel="0" collapsed="false">
      <c r="A14" s="4" t="s">
        <v>180</v>
      </c>
      <c r="B14" s="14"/>
      <c r="C14" s="14"/>
      <c r="D14" s="14"/>
      <c r="E14" s="14" t="str">
        <f aca="false">IF(B14="","",B14+C14+D14)</f>
        <v/>
      </c>
      <c r="F14" s="4"/>
    </row>
    <row r="15" customFormat="false" ht="21.75" hidden="false" customHeight="true" outlineLevel="0" collapsed="false">
      <c r="A15" s="6" t="s">
        <v>181</v>
      </c>
      <c r="B15" s="15"/>
      <c r="C15" s="15"/>
      <c r="D15" s="15"/>
      <c r="E15" s="15" t="str">
        <f aca="false">IF(B15="","",B15+C15+D15)</f>
        <v/>
      </c>
      <c r="F15" s="6"/>
    </row>
    <row r="16" customFormat="false" ht="15" hidden="false" customHeight="false" outlineLevel="0" collapsed="false">
      <c r="A16" s="18" t="s">
        <v>182</v>
      </c>
      <c r="B16" s="19" t="n">
        <f aca="false">SUM(B4:B15)</f>
        <v>121900</v>
      </c>
      <c r="C16" s="19" t="n">
        <f aca="false">SUM(C4:C15)</f>
        <v>7020</v>
      </c>
      <c r="D16" s="19" t="n">
        <f aca="false">SUM(D4:D15)</f>
        <v>14040</v>
      </c>
      <c r="E16" s="19" t="n">
        <f aca="false">SUM(E4:E15)</f>
        <v>142960</v>
      </c>
      <c r="F16" s="20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4" min="3" style="0" width="14"/>
    <col collapsed="false" customWidth="true" hidden="false" outlineLevel="0" max="5" min="5" style="0" width="28"/>
    <col collapsed="false" customWidth="true" hidden="false" outlineLevel="0" max="8" min="6" style="0" width="18"/>
    <col collapsed="false" customWidth="true" hidden="false" outlineLevel="0" max="9" min="9" style="0" width="16"/>
  </cols>
  <sheetData>
    <row r="1" customFormat="false" ht="31.5" hidden="false" customHeight="true" outlineLevel="0" collapsed="false">
      <c r="A1" s="1" t="s">
        <v>183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184</v>
      </c>
      <c r="B2" s="2"/>
      <c r="C2" s="2"/>
      <c r="D2" s="2"/>
      <c r="E2" s="2"/>
      <c r="F2" s="2"/>
      <c r="G2" s="2"/>
      <c r="H2" s="2"/>
      <c r="I2" s="2"/>
    </row>
    <row r="3" customFormat="false" ht="36" hidden="false" customHeight="true" outlineLevel="0" collapsed="false">
      <c r="A3" s="3" t="s">
        <v>185</v>
      </c>
      <c r="B3" s="3" t="s">
        <v>136</v>
      </c>
      <c r="C3" s="3" t="s">
        <v>186</v>
      </c>
      <c r="D3" s="3" t="s">
        <v>187</v>
      </c>
      <c r="E3" s="3" t="s">
        <v>188</v>
      </c>
      <c r="F3" s="3" t="s">
        <v>189</v>
      </c>
      <c r="G3" s="3" t="s">
        <v>190</v>
      </c>
      <c r="H3" s="3" t="s">
        <v>7</v>
      </c>
      <c r="I3" s="3" t="s">
        <v>191</v>
      </c>
    </row>
    <row r="4" customFormat="false" ht="21.75" hidden="false" customHeight="true" outlineLevel="0" collapsed="false">
      <c r="A4" s="4" t="s">
        <v>192</v>
      </c>
      <c r="B4" s="4" t="s">
        <v>33</v>
      </c>
      <c r="C4" s="4" t="s">
        <v>29</v>
      </c>
      <c r="D4" s="4" t="s">
        <v>193</v>
      </c>
      <c r="E4" s="4" t="s">
        <v>194</v>
      </c>
      <c r="F4" s="4" t="s">
        <v>195</v>
      </c>
      <c r="G4" s="14" t="s">
        <v>196</v>
      </c>
      <c r="H4" s="7" t="s">
        <v>197</v>
      </c>
      <c r="I4" s="4" t="s">
        <v>198</v>
      </c>
    </row>
    <row r="5" customFormat="false" ht="21.75" hidden="false" customHeight="true" outlineLevel="0" collapsed="false">
      <c r="A5" s="6" t="s">
        <v>199</v>
      </c>
      <c r="B5" s="6" t="s">
        <v>46</v>
      </c>
      <c r="C5" s="6" t="s">
        <v>42</v>
      </c>
      <c r="D5" s="6" t="s">
        <v>200</v>
      </c>
      <c r="E5" s="6" t="s">
        <v>201</v>
      </c>
      <c r="F5" s="6" t="s">
        <v>202</v>
      </c>
      <c r="G5" s="15" t="s">
        <v>203</v>
      </c>
      <c r="H5" s="7" t="s">
        <v>197</v>
      </c>
      <c r="I5" s="6" t="s">
        <v>163</v>
      </c>
    </row>
    <row r="6" customFormat="false" ht="21.75" hidden="false" customHeight="true" outlineLevel="0" collapsed="false">
      <c r="A6" s="4" t="s">
        <v>204</v>
      </c>
      <c r="B6" s="4" t="s">
        <v>20</v>
      </c>
      <c r="C6" s="4" t="s">
        <v>149</v>
      </c>
      <c r="D6" s="4" t="s">
        <v>205</v>
      </c>
      <c r="E6" s="4" t="s">
        <v>206</v>
      </c>
      <c r="F6" s="4" t="s">
        <v>207</v>
      </c>
      <c r="G6" s="14" t="s">
        <v>208</v>
      </c>
      <c r="H6" s="7" t="s">
        <v>197</v>
      </c>
      <c r="I6" s="4" t="s">
        <v>149</v>
      </c>
    </row>
    <row r="7" customFormat="false" ht="21.75" hidden="false" customHeight="true" outlineLevel="0" collapsed="false">
      <c r="A7" s="6" t="s">
        <v>209</v>
      </c>
      <c r="B7" s="6" t="s">
        <v>55</v>
      </c>
      <c r="C7" s="6" t="s">
        <v>210</v>
      </c>
      <c r="D7" s="6" t="s">
        <v>193</v>
      </c>
      <c r="E7" s="6" t="s">
        <v>211</v>
      </c>
      <c r="F7" s="6" t="s">
        <v>195</v>
      </c>
      <c r="G7" s="15" t="s">
        <v>212</v>
      </c>
      <c r="H7" s="7" t="s">
        <v>197</v>
      </c>
      <c r="I7" s="6" t="s">
        <v>210</v>
      </c>
    </row>
    <row r="8" customFormat="false" ht="21.75" hidden="false" customHeight="true" outlineLevel="0" collapsed="false">
      <c r="A8" s="4" t="s">
        <v>213</v>
      </c>
      <c r="B8" s="4" t="s">
        <v>51</v>
      </c>
      <c r="C8" s="4" t="s">
        <v>214</v>
      </c>
      <c r="D8" s="4" t="s">
        <v>200</v>
      </c>
      <c r="E8" s="4" t="s">
        <v>215</v>
      </c>
      <c r="F8" s="4" t="s">
        <v>202</v>
      </c>
      <c r="G8" s="14" t="s">
        <v>216</v>
      </c>
      <c r="H8" s="5" t="s">
        <v>217</v>
      </c>
      <c r="I8" s="4"/>
    </row>
    <row r="9" customFormat="false" ht="21.75" hidden="false" customHeight="true" outlineLevel="0" collapsed="false">
      <c r="A9" s="6" t="s">
        <v>218</v>
      </c>
      <c r="B9" s="6" t="s">
        <v>33</v>
      </c>
      <c r="C9" s="6" t="s">
        <v>219</v>
      </c>
      <c r="D9" s="6" t="s">
        <v>193</v>
      </c>
      <c r="E9" s="6" t="s">
        <v>220</v>
      </c>
      <c r="F9" s="6" t="s">
        <v>195</v>
      </c>
      <c r="G9" s="15" t="s">
        <v>221</v>
      </c>
      <c r="H9" s="5" t="s">
        <v>217</v>
      </c>
      <c r="I9" s="6"/>
    </row>
    <row r="10" customFormat="false" ht="21.75" hidden="false" customHeight="true" outlineLevel="0" collapsed="false">
      <c r="A10" s="4" t="s">
        <v>222</v>
      </c>
      <c r="B10" s="4" t="s">
        <v>59</v>
      </c>
      <c r="C10" s="4" t="s">
        <v>223</v>
      </c>
      <c r="D10" s="4" t="s">
        <v>205</v>
      </c>
      <c r="E10" s="4" t="s">
        <v>224</v>
      </c>
      <c r="F10" s="4" t="s">
        <v>207</v>
      </c>
      <c r="G10" s="14" t="s">
        <v>225</v>
      </c>
      <c r="H10" s="8" t="s">
        <v>226</v>
      </c>
      <c r="I10" s="4"/>
    </row>
    <row r="11" customFormat="false" ht="15" hidden="false" customHeight="true" outlineLevel="0" collapsed="false">
      <c r="A11" s="16" t="s">
        <v>227</v>
      </c>
      <c r="B11" s="16"/>
      <c r="C11" s="16"/>
      <c r="D11" s="16"/>
      <c r="E11" s="16"/>
      <c r="F11" s="16"/>
      <c r="G11" s="10" t="n">
        <f aca="false">SUM(G4:G10)</f>
        <v>0</v>
      </c>
      <c r="H11" s="17"/>
      <c r="I11" s="17"/>
    </row>
  </sheetData>
  <mergeCells count="3">
    <mergeCell ref="A1:I1"/>
    <mergeCell ref="A2:I2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2026-03-21T18:22:10Z</dcterms:created>
  <dc:creator>openpyxl</dc:creator>
  <dc:description/>
  <dc:language>en-US</dc:language>
  <cp:lastModifiedBy/>
  <dcterms:modified xsi:type="dcterms:W3CDTF">2026-03-21T18:22:10Z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